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uans\Documents\OsaConservation\Logs\Data\"/>
    </mc:Choice>
  </mc:AlternateContent>
  <xr:revisionPtr revIDLastSave="0" documentId="13_ncr:1_{0B35EE9C-DF0C-4597-BB76-8A812790C511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Point identification" sheetId="1" r:id="rId1"/>
  </sheets>
  <definedNames>
    <definedName name="_xlnm._FilterDatabase" localSheetId="0" hidden="1">'Point identification'!$A$1:$J$18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2Mj7//RHTGKECxqDyL7OY9aTGNw=="/>
    </ext>
  </extLst>
</workbook>
</file>

<file path=xl/calcChain.xml><?xml version="1.0" encoding="utf-8"?>
<calcChain xmlns="http://schemas.openxmlformats.org/spreadsheetml/2006/main">
  <c r="L15" i="1" l="1"/>
  <c r="M18" i="1"/>
  <c r="L18" i="1"/>
  <c r="K18" i="1"/>
  <c r="J18" i="1"/>
  <c r="G18" i="1"/>
  <c r="D18" i="1"/>
  <c r="M17" i="1"/>
  <c r="J17" i="1"/>
  <c r="K17" i="1" s="1"/>
  <c r="L17" i="1" s="1"/>
  <c r="G17" i="1"/>
  <c r="D17" i="1"/>
  <c r="C17" i="1"/>
  <c r="M16" i="1"/>
  <c r="J16" i="1"/>
  <c r="K16" i="1" s="1"/>
  <c r="L16" i="1" s="1"/>
  <c r="G16" i="1"/>
  <c r="D16" i="1"/>
  <c r="C16" i="1"/>
  <c r="K15" i="1"/>
  <c r="J15" i="1"/>
  <c r="G15" i="1"/>
  <c r="M15" i="1" s="1"/>
  <c r="D15" i="1"/>
  <c r="J14" i="1"/>
  <c r="K14" i="1" s="1"/>
  <c r="L14" i="1" s="1"/>
  <c r="G14" i="1"/>
  <c r="M14" i="1" s="1"/>
  <c r="D14" i="1"/>
  <c r="K13" i="1"/>
  <c r="L13" i="1" s="1"/>
  <c r="J13" i="1"/>
  <c r="G13" i="1"/>
  <c r="M13" i="1" s="1"/>
  <c r="D13" i="1"/>
  <c r="C13" i="1"/>
  <c r="L12" i="1"/>
  <c r="K12" i="1"/>
  <c r="G12" i="1"/>
  <c r="M12" i="1" s="1"/>
  <c r="D12" i="1"/>
  <c r="K11" i="1"/>
  <c r="L11" i="1" s="1"/>
  <c r="J11" i="1"/>
  <c r="G11" i="1"/>
  <c r="M11" i="1" s="1"/>
  <c r="D11" i="1"/>
  <c r="J10" i="1"/>
  <c r="K10" i="1" s="1"/>
  <c r="L10" i="1" s="1"/>
  <c r="G10" i="1"/>
  <c r="M10" i="1" s="1"/>
  <c r="D10" i="1"/>
  <c r="C10" i="1"/>
  <c r="J9" i="1"/>
  <c r="K9" i="1" s="1"/>
  <c r="L9" i="1" s="1"/>
  <c r="G9" i="1"/>
  <c r="M9" i="1" s="1"/>
  <c r="D9" i="1"/>
  <c r="L8" i="1"/>
  <c r="K8" i="1"/>
  <c r="G8" i="1"/>
  <c r="M8" i="1" s="1"/>
  <c r="D8" i="1"/>
  <c r="K7" i="1"/>
  <c r="L7" i="1" s="1"/>
  <c r="J7" i="1"/>
  <c r="G7" i="1"/>
  <c r="M7" i="1" s="1"/>
  <c r="D7" i="1"/>
  <c r="J6" i="1"/>
  <c r="K6" i="1" s="1"/>
  <c r="L6" i="1" s="1"/>
  <c r="G6" i="1"/>
  <c r="M6" i="1" s="1"/>
  <c r="D6" i="1"/>
  <c r="M5" i="1"/>
  <c r="K5" i="1"/>
  <c r="L5" i="1" s="1"/>
  <c r="J5" i="1"/>
  <c r="G5" i="1"/>
  <c r="D5" i="1"/>
  <c r="M4" i="1"/>
  <c r="K4" i="1"/>
  <c r="L4" i="1" s="1"/>
  <c r="J4" i="1"/>
  <c r="G4" i="1"/>
  <c r="D4" i="1"/>
  <c r="C4" i="1"/>
  <c r="M3" i="1"/>
  <c r="J3" i="1"/>
  <c r="K3" i="1" s="1"/>
  <c r="L3" i="1" s="1"/>
  <c r="G3" i="1"/>
  <c r="D3" i="1"/>
  <c r="M2" i="1"/>
  <c r="J2" i="1"/>
  <c r="K2" i="1" s="1"/>
  <c r="L2" i="1" s="1"/>
  <c r="G2" i="1"/>
  <c r="D2" i="1"/>
  <c r="C2" i="1"/>
</calcChain>
</file>

<file path=xl/sharedStrings.xml><?xml version="1.0" encoding="utf-8"?>
<sst xmlns="http://schemas.openxmlformats.org/spreadsheetml/2006/main" count="50" uniqueCount="36">
  <si>
    <t>Log #</t>
  </si>
  <si>
    <t>Log_lenght</t>
  </si>
  <si>
    <t>Diameter</t>
  </si>
  <si>
    <t>River_depth</t>
  </si>
  <si>
    <t>Stream_width</t>
  </si>
  <si>
    <t>Bank_width</t>
  </si>
  <si>
    <t>Stream vel</t>
  </si>
  <si>
    <t>Log_to_water</t>
  </si>
  <si>
    <t># cameras</t>
  </si>
  <si>
    <t>canopy_cover</t>
  </si>
  <si>
    <t>open_per</t>
  </si>
  <si>
    <t>Canopy_per</t>
  </si>
  <si>
    <t>Vel_conver</t>
  </si>
  <si>
    <t>branch_order</t>
  </si>
  <si>
    <t>Bark</t>
  </si>
  <si>
    <t xml:space="preserve">Class </t>
  </si>
  <si>
    <t>CLOG01</t>
  </si>
  <si>
    <t>I</t>
  </si>
  <si>
    <t>CLOG02</t>
  </si>
  <si>
    <t>II</t>
  </si>
  <si>
    <t>CLOG03</t>
  </si>
  <si>
    <t>CLOG04</t>
  </si>
  <si>
    <t>CLOG05</t>
  </si>
  <si>
    <t>III</t>
  </si>
  <si>
    <t>CLOG07</t>
  </si>
  <si>
    <t>CLOG08</t>
  </si>
  <si>
    <t>CLOG10</t>
  </si>
  <si>
    <t>CLOG11</t>
  </si>
  <si>
    <t>CLOG12</t>
  </si>
  <si>
    <t>PLOG02</t>
  </si>
  <si>
    <t>PLOG03</t>
  </si>
  <si>
    <t>PLOG04</t>
  </si>
  <si>
    <t>PLOG05</t>
  </si>
  <si>
    <t>PLOG06</t>
  </si>
  <si>
    <t>PLOG07</t>
  </si>
  <si>
    <t>PLOG08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</si>
</sst>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1" fontId="2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L15" sqref="L15"/>
    </sheetView>
  </sheetViews>
  <sheetFormatPr defaultColWidth="12.625" defaultRowHeight="15" customHeight="1" x14ac:dyDescent="0.2"/>
  <cols>
    <col min="1" max="1" width="8" customWidth="1"/>
    <col min="2" max="2" width="9.375" customWidth="1"/>
    <col min="3" max="3" width="8.125" customWidth="1"/>
    <col min="4" max="4" width="10.375" customWidth="1"/>
    <col min="5" max="5" width="11.25" customWidth="1"/>
    <col min="6" max="6" width="16.625" customWidth="1"/>
    <col min="7" max="7" width="9.875" customWidth="1"/>
    <col min="8" max="9" width="12.875" customWidth="1"/>
    <col min="10" max="12" width="13.625" customWidth="1"/>
    <col min="13" max="13" width="14.25" customWidth="1"/>
    <col min="14" max="14" width="13.625" customWidth="1"/>
    <col min="15" max="15" width="10.875" customWidth="1"/>
    <col min="16" max="16" width="11" customWidth="1"/>
    <col min="17" max="25" width="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>
        <v>10.9</v>
      </c>
      <c r="C2" s="1">
        <f>AVERAGE(22.4,27.6)</f>
        <v>25</v>
      </c>
      <c r="D2" s="3">
        <f>AVERAGE(11,17,42)</f>
        <v>23.333333333333332</v>
      </c>
      <c r="E2" s="1">
        <v>7.6</v>
      </c>
      <c r="F2" s="1">
        <v>11.35</v>
      </c>
      <c r="G2" s="1">
        <f>AVERAGE(12.4,18.2,12.3)</f>
        <v>14.300000000000002</v>
      </c>
      <c r="H2" s="1">
        <v>0.5</v>
      </c>
      <c r="I2" s="1">
        <v>1</v>
      </c>
      <c r="J2" s="1">
        <f>AVERAGE(13,16,7,4)</f>
        <v>10</v>
      </c>
      <c r="K2" s="1">
        <f t="shared" ref="K2:K18" si="0">(J2*1.04)</f>
        <v>10.4</v>
      </c>
      <c r="L2" s="1">
        <f t="shared" ref="L2:L15" si="1">100-K2</f>
        <v>89.6</v>
      </c>
      <c r="M2" s="4">
        <f t="shared" ref="M2:M18" si="2">5/G2</f>
        <v>0.34965034965034958</v>
      </c>
      <c r="N2" s="1">
        <v>1</v>
      </c>
      <c r="O2" s="1">
        <v>100</v>
      </c>
      <c r="P2" s="1" t="s">
        <v>17</v>
      </c>
    </row>
    <row r="3" spans="1:16" x14ac:dyDescent="0.25">
      <c r="A3" s="1" t="s">
        <v>18</v>
      </c>
      <c r="B3" s="1">
        <v>7.8</v>
      </c>
      <c r="C3" s="2">
        <v>24.8</v>
      </c>
      <c r="D3" s="3">
        <f>AVERAGE(70,17,10)</f>
        <v>32.333333333333336</v>
      </c>
      <c r="E3" s="1">
        <v>4.8</v>
      </c>
      <c r="F3" s="1">
        <v>7.8</v>
      </c>
      <c r="G3" s="1">
        <f>AVERAGE(10.6,10.4)</f>
        <v>10.5</v>
      </c>
      <c r="H3" s="1">
        <v>1</v>
      </c>
      <c r="I3" s="1">
        <v>1</v>
      </c>
      <c r="J3" s="1">
        <f>AVERAGE(33,41,51,2)</f>
        <v>31.75</v>
      </c>
      <c r="K3" s="1">
        <f t="shared" si="0"/>
        <v>33.020000000000003</v>
      </c>
      <c r="L3" s="1">
        <f t="shared" si="1"/>
        <v>66.97999999999999</v>
      </c>
      <c r="M3" s="4">
        <f t="shared" si="2"/>
        <v>0.47619047619047616</v>
      </c>
      <c r="N3" s="1">
        <v>2</v>
      </c>
      <c r="O3" s="1">
        <v>75</v>
      </c>
      <c r="P3" s="1" t="s">
        <v>19</v>
      </c>
    </row>
    <row r="4" spans="1:16" x14ac:dyDescent="0.25">
      <c r="A4" s="1" t="s">
        <v>20</v>
      </c>
      <c r="B4" s="1">
        <v>12.3</v>
      </c>
      <c r="C4" s="4">
        <f>74/3.14</f>
        <v>23.566878980891719</v>
      </c>
      <c r="D4" s="3">
        <f>AVERAGE(16,42,40)</f>
        <v>32.666666666666664</v>
      </c>
      <c r="E4" s="1">
        <v>7.27</v>
      </c>
      <c r="F4" s="1">
        <v>7.27</v>
      </c>
      <c r="G4" s="4">
        <f>AVERAGE(10.4,15.7,13.3)</f>
        <v>13.133333333333335</v>
      </c>
      <c r="H4" s="1">
        <v>0.32</v>
      </c>
      <c r="I4" s="1">
        <v>2</v>
      </c>
      <c r="J4" s="1">
        <f>AVERAGE(48,16,52,18)</f>
        <v>33.5</v>
      </c>
      <c r="K4" s="1">
        <f t="shared" si="0"/>
        <v>34.840000000000003</v>
      </c>
      <c r="L4" s="1">
        <f t="shared" si="1"/>
        <v>65.16</v>
      </c>
      <c r="M4" s="4">
        <f t="shared" si="2"/>
        <v>0.38071065989847713</v>
      </c>
      <c r="N4" s="5">
        <v>3</v>
      </c>
      <c r="O4" s="1">
        <v>75</v>
      </c>
      <c r="P4" s="5" t="s">
        <v>17</v>
      </c>
    </row>
    <row r="5" spans="1:16" x14ac:dyDescent="0.25">
      <c r="A5" s="1" t="s">
        <v>21</v>
      </c>
      <c r="B5" s="1">
        <v>7.96</v>
      </c>
      <c r="C5" s="2">
        <v>21.2</v>
      </c>
      <c r="D5" s="3">
        <f>AVERAGE(14,40,41)</f>
        <v>31.666666666666668</v>
      </c>
      <c r="E5" s="1">
        <v>6.2</v>
      </c>
      <c r="F5" s="1">
        <v>6.26</v>
      </c>
      <c r="G5" s="4">
        <f>AVERAGE(20.5,20.4,21.9)</f>
        <v>20.933333333333334</v>
      </c>
      <c r="H5" s="1">
        <v>4.75</v>
      </c>
      <c r="I5" s="1">
        <v>1</v>
      </c>
      <c r="J5" s="1">
        <f>AVERAGE(16,4,4,6)</f>
        <v>7.5</v>
      </c>
      <c r="K5" s="1">
        <f t="shared" si="0"/>
        <v>7.8000000000000007</v>
      </c>
      <c r="L5" s="1">
        <f t="shared" si="1"/>
        <v>92.2</v>
      </c>
      <c r="M5" s="4">
        <f t="shared" si="2"/>
        <v>0.23885350318471338</v>
      </c>
      <c r="N5" s="1">
        <v>3</v>
      </c>
      <c r="O5" s="1">
        <v>75</v>
      </c>
      <c r="P5" s="1" t="s">
        <v>17</v>
      </c>
    </row>
    <row r="6" spans="1:16" x14ac:dyDescent="0.25">
      <c r="A6" s="1" t="s">
        <v>22</v>
      </c>
      <c r="B6" s="1">
        <v>11.4</v>
      </c>
      <c r="C6" s="2">
        <v>29</v>
      </c>
      <c r="D6" s="3">
        <f>AVERAGE(24,27,57)</f>
        <v>36</v>
      </c>
      <c r="E6" s="1">
        <v>6.48</v>
      </c>
      <c r="F6" s="1">
        <v>6.48</v>
      </c>
      <c r="G6" s="4">
        <f>AVERAGE(5.97,5.3,4.5)</f>
        <v>5.2566666666666668</v>
      </c>
      <c r="H6" s="1">
        <v>0.6</v>
      </c>
      <c r="I6" s="1">
        <v>2</v>
      </c>
      <c r="J6" s="1">
        <f>AVERAGE(8,16,6,15)</f>
        <v>11.25</v>
      </c>
      <c r="K6" s="1">
        <f t="shared" si="0"/>
        <v>11.700000000000001</v>
      </c>
      <c r="L6" s="1">
        <f t="shared" si="1"/>
        <v>88.3</v>
      </c>
      <c r="M6" s="4">
        <f t="shared" si="2"/>
        <v>0.95117311350665823</v>
      </c>
      <c r="N6" s="1">
        <v>0</v>
      </c>
      <c r="O6" s="1">
        <v>25</v>
      </c>
      <c r="P6" s="1" t="s">
        <v>23</v>
      </c>
    </row>
    <row r="7" spans="1:16" x14ac:dyDescent="0.25">
      <c r="A7" s="1" t="s">
        <v>24</v>
      </c>
      <c r="B7" s="1">
        <v>11.4</v>
      </c>
      <c r="C7" s="2">
        <v>32</v>
      </c>
      <c r="D7" s="3">
        <f>AVERAGE(10,11,5)</f>
        <v>8.6666666666666661</v>
      </c>
      <c r="E7" s="1">
        <v>2.7</v>
      </c>
      <c r="F7" s="1">
        <v>4.5</v>
      </c>
      <c r="G7" s="4">
        <f>AVERAGE(12.9,15.13)</f>
        <v>14.015000000000001</v>
      </c>
      <c r="H7" s="1">
        <v>5.5</v>
      </c>
      <c r="I7" s="1">
        <v>1</v>
      </c>
      <c r="J7" s="1">
        <f>AVERAGE(15,8,4,6)</f>
        <v>8.25</v>
      </c>
      <c r="K7" s="1">
        <f t="shared" si="0"/>
        <v>8.58</v>
      </c>
      <c r="L7" s="1">
        <f t="shared" si="1"/>
        <v>91.42</v>
      </c>
      <c r="M7" s="4">
        <f t="shared" si="2"/>
        <v>0.35676061362825545</v>
      </c>
      <c r="N7" s="1">
        <v>1</v>
      </c>
      <c r="O7" s="1">
        <v>100</v>
      </c>
      <c r="P7" s="1" t="s">
        <v>17</v>
      </c>
    </row>
    <row r="8" spans="1:16" x14ac:dyDescent="0.25">
      <c r="A8" s="1" t="s">
        <v>25</v>
      </c>
      <c r="B8" s="1">
        <v>12.3</v>
      </c>
      <c r="C8" s="2">
        <v>31.7</v>
      </c>
      <c r="D8" s="3">
        <f>AVERAGE(13,21,12)</f>
        <v>15.333333333333334</v>
      </c>
      <c r="E8" s="1">
        <v>4.7</v>
      </c>
      <c r="F8" s="1">
        <v>4.7</v>
      </c>
      <c r="G8" s="4">
        <f>AVERAGE(11.7,13.6)</f>
        <v>12.649999999999999</v>
      </c>
      <c r="H8" s="1">
        <v>2.2999999999999998</v>
      </c>
      <c r="I8" s="1">
        <v>2</v>
      </c>
      <c r="J8" s="1">
        <v>0</v>
      </c>
      <c r="K8" s="1">
        <f t="shared" si="0"/>
        <v>0</v>
      </c>
      <c r="L8" s="1">
        <f t="shared" si="1"/>
        <v>100</v>
      </c>
      <c r="M8" s="4">
        <f t="shared" si="2"/>
        <v>0.39525691699604748</v>
      </c>
      <c r="N8" s="1">
        <v>1</v>
      </c>
      <c r="O8" s="1">
        <v>100</v>
      </c>
      <c r="P8" s="1" t="s">
        <v>17</v>
      </c>
    </row>
    <row r="9" spans="1:16" x14ac:dyDescent="0.25">
      <c r="A9" s="1" t="s">
        <v>26</v>
      </c>
      <c r="B9" s="1">
        <v>9</v>
      </c>
      <c r="C9" s="2">
        <v>50.6</v>
      </c>
      <c r="D9" s="3">
        <f>AVERAGE(21,5,10)</f>
        <v>12</v>
      </c>
      <c r="E9" s="1">
        <v>6</v>
      </c>
      <c r="F9" s="1">
        <v>6</v>
      </c>
      <c r="G9" s="4">
        <f>AVERAGE(8.92,12.28,8.33)</f>
        <v>9.8433333333333337</v>
      </c>
      <c r="H9" s="1">
        <v>1.5</v>
      </c>
      <c r="I9" s="1">
        <v>1</v>
      </c>
      <c r="J9" s="1">
        <f>AVERAGE(14,7,9,4)</f>
        <v>8.5</v>
      </c>
      <c r="K9" s="1">
        <f t="shared" si="0"/>
        <v>8.84</v>
      </c>
      <c r="L9" s="1">
        <f t="shared" si="1"/>
        <v>91.16</v>
      </c>
      <c r="M9" s="4">
        <f t="shared" si="2"/>
        <v>0.50795800880460551</v>
      </c>
      <c r="N9" s="5">
        <v>0</v>
      </c>
      <c r="O9" s="1">
        <v>75</v>
      </c>
      <c r="P9" s="1" t="s">
        <v>19</v>
      </c>
    </row>
    <row r="10" spans="1:16" x14ac:dyDescent="0.25">
      <c r="A10" s="1" t="s">
        <v>27</v>
      </c>
      <c r="B10" s="1">
        <v>22.9</v>
      </c>
      <c r="C10" s="4">
        <f>200/3.14</f>
        <v>63.694267515923563</v>
      </c>
      <c r="D10" s="3">
        <f>AVERAGE(30,45,58)</f>
        <v>44.333333333333336</v>
      </c>
      <c r="E10" s="1">
        <v>1.7</v>
      </c>
      <c r="F10" s="1">
        <v>6</v>
      </c>
      <c r="G10" s="4">
        <f>AVERAGE(30.75,32.87,29.15)</f>
        <v>30.923333333333332</v>
      </c>
      <c r="H10" s="1">
        <v>6.6</v>
      </c>
      <c r="I10" s="1">
        <v>1</v>
      </c>
      <c r="J10" s="1">
        <f>AVERAGE(18,5,6,0)</f>
        <v>7.25</v>
      </c>
      <c r="K10" s="1">
        <f t="shared" si="0"/>
        <v>7.54</v>
      </c>
      <c r="L10" s="1">
        <f t="shared" si="1"/>
        <v>92.46</v>
      </c>
      <c r="M10" s="4">
        <f t="shared" si="2"/>
        <v>0.16169020157378464</v>
      </c>
      <c r="N10" s="1">
        <v>2</v>
      </c>
      <c r="O10" s="1">
        <v>100</v>
      </c>
      <c r="P10" s="1" t="s">
        <v>17</v>
      </c>
    </row>
    <row r="11" spans="1:16" x14ac:dyDescent="0.25">
      <c r="A11" s="1" t="s">
        <v>28</v>
      </c>
      <c r="B11" s="1">
        <v>14</v>
      </c>
      <c r="C11" s="2">
        <v>22</v>
      </c>
      <c r="D11" s="3">
        <f>AVERAGE(22,10,38)</f>
        <v>23.333333333333332</v>
      </c>
      <c r="E11" s="1">
        <v>6</v>
      </c>
      <c r="F11" s="1">
        <v>7.9</v>
      </c>
      <c r="G11" s="4">
        <f>AVERAGE(8.75,8.1,7.53)</f>
        <v>8.1266666666666669</v>
      </c>
      <c r="H11" s="7">
        <v>4.7</v>
      </c>
      <c r="I11" s="1">
        <v>2</v>
      </c>
      <c r="J11" s="1">
        <f>AVERAGE(15,4,14,3)</f>
        <v>9</v>
      </c>
      <c r="K11" s="1">
        <f t="shared" si="0"/>
        <v>9.36</v>
      </c>
      <c r="L11" s="1">
        <f t="shared" si="1"/>
        <v>90.64</v>
      </c>
      <c r="M11" s="4">
        <f t="shared" si="2"/>
        <v>0.6152584085315832</v>
      </c>
      <c r="N11" s="1">
        <v>1</v>
      </c>
      <c r="O11" s="1">
        <v>100</v>
      </c>
      <c r="P11" s="1" t="s">
        <v>17</v>
      </c>
    </row>
    <row r="12" spans="1:16" x14ac:dyDescent="0.25">
      <c r="A12" s="1" t="s">
        <v>29</v>
      </c>
      <c r="B12" s="1">
        <v>17.3</v>
      </c>
      <c r="C12" s="1">
        <v>66.5</v>
      </c>
      <c r="D12" s="1">
        <f>AVERAGE(90,13,44)</f>
        <v>49</v>
      </c>
      <c r="E12" s="1">
        <v>0.55000000000000004</v>
      </c>
      <c r="F12" s="1">
        <v>8</v>
      </c>
      <c r="G12" s="4">
        <f>AVERAGE(10.17,9.22)</f>
        <v>9.6950000000000003</v>
      </c>
      <c r="H12" s="1">
        <v>1</v>
      </c>
      <c r="I12" s="1">
        <v>2</v>
      </c>
      <c r="J12" s="1">
        <v>0</v>
      </c>
      <c r="K12" s="1">
        <f t="shared" si="0"/>
        <v>0</v>
      </c>
      <c r="L12" s="1">
        <f t="shared" si="1"/>
        <v>100</v>
      </c>
      <c r="M12" s="4">
        <f t="shared" si="2"/>
        <v>0.51572975760701389</v>
      </c>
      <c r="N12" s="1">
        <v>1</v>
      </c>
      <c r="O12" s="1">
        <v>75</v>
      </c>
      <c r="P12" s="1" t="s">
        <v>19</v>
      </c>
    </row>
    <row r="13" spans="1:16" x14ac:dyDescent="0.25">
      <c r="A13" s="1" t="s">
        <v>30</v>
      </c>
      <c r="B13" s="1">
        <v>15.5</v>
      </c>
      <c r="C13" s="1">
        <f>AVERAGE(21.5,41.5)</f>
        <v>31.5</v>
      </c>
      <c r="D13" s="3">
        <f>AVERAGE(2,8,12)</f>
        <v>7.333333333333333</v>
      </c>
      <c r="E13" s="1">
        <v>8.6</v>
      </c>
      <c r="F13" s="1">
        <v>11.93</v>
      </c>
      <c r="G13" s="1">
        <f>AVERAGE(3.7,3.2,3.6)</f>
        <v>3.5</v>
      </c>
      <c r="H13" s="1">
        <v>1.05</v>
      </c>
      <c r="I13" s="1">
        <v>2</v>
      </c>
      <c r="J13" s="1">
        <f>AVERAGE(24,9,21,17)</f>
        <v>17.75</v>
      </c>
      <c r="K13" s="1">
        <f t="shared" si="0"/>
        <v>18.46</v>
      </c>
      <c r="L13" s="1">
        <f t="shared" si="1"/>
        <v>81.539999999999992</v>
      </c>
      <c r="M13" s="4">
        <f t="shared" si="2"/>
        <v>1.4285714285714286</v>
      </c>
      <c r="N13" s="1">
        <v>0</v>
      </c>
      <c r="O13" s="1">
        <v>75</v>
      </c>
      <c r="P13" s="1" t="s">
        <v>19</v>
      </c>
    </row>
    <row r="14" spans="1:16" x14ac:dyDescent="0.25">
      <c r="A14" s="1" t="s">
        <v>31</v>
      </c>
      <c r="B14" s="1">
        <v>9.6999999999999993</v>
      </c>
      <c r="C14" s="1">
        <v>10</v>
      </c>
      <c r="D14" s="3">
        <f>AVERAGE(20,27,20)</f>
        <v>22.333333333333332</v>
      </c>
      <c r="E14" s="1">
        <v>6.1</v>
      </c>
      <c r="F14" s="1">
        <v>9.6999999999999993</v>
      </c>
      <c r="G14" s="1">
        <f>AVERAGE(8.9,7.14)</f>
        <v>8.02</v>
      </c>
      <c r="H14" s="1">
        <v>1.2</v>
      </c>
      <c r="I14" s="1">
        <v>1</v>
      </c>
      <c r="J14" s="1">
        <f>AVERAGE(18,4,8,10)</f>
        <v>10</v>
      </c>
      <c r="K14" s="1">
        <f t="shared" si="0"/>
        <v>10.4</v>
      </c>
      <c r="L14" s="1">
        <f t="shared" si="1"/>
        <v>89.6</v>
      </c>
      <c r="M14" s="4">
        <f t="shared" si="2"/>
        <v>0.62344139650872821</v>
      </c>
      <c r="N14" s="1">
        <v>2</v>
      </c>
      <c r="O14" s="1">
        <v>75</v>
      </c>
      <c r="P14" s="1" t="s">
        <v>19</v>
      </c>
    </row>
    <row r="15" spans="1:16" x14ac:dyDescent="0.25">
      <c r="A15" s="1" t="s">
        <v>32</v>
      </c>
      <c r="B15" s="1">
        <v>13.2</v>
      </c>
      <c r="C15" s="1">
        <v>100</v>
      </c>
      <c r="D15" s="3">
        <f>AVERAGE(80,17,33)</f>
        <v>43.333333333333336</v>
      </c>
      <c r="E15" s="1">
        <v>9.3000000000000007</v>
      </c>
      <c r="F15" s="1">
        <v>12.3</v>
      </c>
      <c r="G15" s="1">
        <f>AVERAGE(29.2,11.2)</f>
        <v>20.2</v>
      </c>
      <c r="H15" s="1">
        <v>2.4</v>
      </c>
      <c r="I15" s="1">
        <v>2</v>
      </c>
      <c r="J15" s="1">
        <f>AVERAGE(24,64,34,32)</f>
        <v>38.5</v>
      </c>
      <c r="K15" s="1">
        <f t="shared" si="0"/>
        <v>40.04</v>
      </c>
      <c r="L15" s="1">
        <f t="shared" si="1"/>
        <v>59.96</v>
      </c>
      <c r="M15" s="4">
        <f t="shared" si="2"/>
        <v>0.24752475247524752</v>
      </c>
      <c r="N15">
        <v>0</v>
      </c>
      <c r="O15">
        <v>25</v>
      </c>
      <c r="P15" t="s">
        <v>23</v>
      </c>
    </row>
    <row r="16" spans="1:16" x14ac:dyDescent="0.25">
      <c r="A16" s="1" t="s">
        <v>33</v>
      </c>
      <c r="B16" s="1">
        <v>12</v>
      </c>
      <c r="C16" s="1">
        <f>AVERAGE(62.6,73)</f>
        <v>67.8</v>
      </c>
      <c r="D16" s="3">
        <f>AVERAGE(7,6,10)</f>
        <v>7.666666666666667</v>
      </c>
      <c r="E16" s="1">
        <v>1.5</v>
      </c>
      <c r="F16" s="1">
        <v>9.6</v>
      </c>
      <c r="G16" s="6">
        <f>AVERAGE(15.11,16.6,13.3)</f>
        <v>15.003333333333336</v>
      </c>
      <c r="H16" s="1">
        <v>1</v>
      </c>
      <c r="I16" s="1">
        <v>1</v>
      </c>
      <c r="J16" s="1">
        <f>AVERAGE(7,5,3,9)</f>
        <v>6</v>
      </c>
      <c r="K16" s="1">
        <f t="shared" si="0"/>
        <v>6.24</v>
      </c>
      <c r="L16" s="1">
        <f t="shared" ref="L16:L18" si="3">100-K16</f>
        <v>93.76</v>
      </c>
      <c r="M16" s="4">
        <f t="shared" si="2"/>
        <v>0.33325927571650737</v>
      </c>
      <c r="N16" s="1">
        <v>1</v>
      </c>
      <c r="O16" s="1">
        <v>100</v>
      </c>
      <c r="P16" s="1" t="s">
        <v>17</v>
      </c>
    </row>
    <row r="17" spans="1:16" x14ac:dyDescent="0.25">
      <c r="A17" s="1" t="s">
        <v>34</v>
      </c>
      <c r="B17" s="1">
        <v>12.5</v>
      </c>
      <c r="C17" s="1">
        <f>AVERAGE(39.9,30.5)</f>
        <v>35.200000000000003</v>
      </c>
      <c r="D17" s="1">
        <f>AVERAGE(60,30,45)</f>
        <v>45</v>
      </c>
      <c r="E17" s="1">
        <v>3.4</v>
      </c>
      <c r="F17" s="1">
        <v>8.6</v>
      </c>
      <c r="G17" s="6">
        <f>AVERAGE(29.2,12)</f>
        <v>20.6</v>
      </c>
      <c r="H17" s="1">
        <v>2.1</v>
      </c>
      <c r="I17" s="1">
        <v>2</v>
      </c>
      <c r="J17" s="1">
        <f>AVERAGE(3,28,3,11)</f>
        <v>11.25</v>
      </c>
      <c r="K17" s="1">
        <f t="shared" si="0"/>
        <v>11.700000000000001</v>
      </c>
      <c r="L17" s="1">
        <f t="shared" si="3"/>
        <v>88.3</v>
      </c>
      <c r="M17" s="4">
        <f t="shared" si="2"/>
        <v>0.24271844660194172</v>
      </c>
      <c r="N17" s="1">
        <v>1</v>
      </c>
      <c r="O17" s="1">
        <v>100</v>
      </c>
      <c r="P17" s="1" t="s">
        <v>17</v>
      </c>
    </row>
    <row r="18" spans="1:16" x14ac:dyDescent="0.25">
      <c r="A18" s="1" t="s">
        <v>35</v>
      </c>
      <c r="B18" s="1">
        <v>14.6</v>
      </c>
      <c r="C18" s="1">
        <v>68.3</v>
      </c>
      <c r="D18" s="3">
        <f>AVERAGE(4,6,12)</f>
        <v>7.333333333333333</v>
      </c>
      <c r="E18" s="1">
        <v>5.2</v>
      </c>
      <c r="F18" s="1">
        <v>11.5</v>
      </c>
      <c r="G18" s="6">
        <f>AVERAGE(23.19,26.45,30.19)</f>
        <v>26.61</v>
      </c>
      <c r="H18" s="1">
        <v>1.8</v>
      </c>
      <c r="I18" s="1">
        <v>2</v>
      </c>
      <c r="J18" s="1">
        <f>AVERAGE(14,4,33,15)</f>
        <v>16.5</v>
      </c>
      <c r="K18" s="1">
        <f t="shared" si="0"/>
        <v>17.16</v>
      </c>
      <c r="L18" s="1">
        <f t="shared" si="3"/>
        <v>82.84</v>
      </c>
      <c r="M18" s="4">
        <f t="shared" si="2"/>
        <v>0.18789928598271327</v>
      </c>
      <c r="N18" s="1">
        <v>0</v>
      </c>
      <c r="O18" s="1">
        <v>75</v>
      </c>
      <c r="P18" s="1" t="s">
        <v>19</v>
      </c>
    </row>
    <row r="21" spans="1:16" ht="15.75" customHeight="1" x14ac:dyDescent="0.2"/>
    <row r="22" spans="1:16" ht="15.75" customHeight="1" x14ac:dyDescent="0.2"/>
    <row r="23" spans="1:16" ht="15.75" customHeight="1" x14ac:dyDescent="0.2"/>
    <row r="24" spans="1:16" ht="15.75" customHeight="1" x14ac:dyDescent="0.2"/>
    <row r="25" spans="1:16" ht="15.75" customHeight="1" x14ac:dyDescent="0.2"/>
    <row r="26" spans="1:16" ht="15.75" customHeight="1" x14ac:dyDescent="0.2"/>
    <row r="27" spans="1:16" ht="15.75" customHeight="1" x14ac:dyDescent="0.2"/>
    <row r="28" spans="1:16" ht="15.75" customHeight="1" x14ac:dyDescent="0.2"/>
    <row r="29" spans="1:16" ht="15.75" customHeight="1" x14ac:dyDescent="0.2"/>
    <row r="30" spans="1:16" ht="15.75" customHeight="1" x14ac:dyDescent="0.2"/>
    <row r="31" spans="1:16" ht="15.75" customHeight="1" x14ac:dyDescent="0.2"/>
    <row r="32" spans="1:1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J18" xr:uid="{00000000-0009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 identification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Vargas Soto</cp:lastModifiedBy>
  <dcterms:created xsi:type="dcterms:W3CDTF">2006-09-16T00:00:00Z</dcterms:created>
  <dcterms:modified xsi:type="dcterms:W3CDTF">2023-05-19T13:37:33Z</dcterms:modified>
</cp:coreProperties>
</file>